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Limitations" sheetId="2" state="visible" r:id="rId4"/>
    <sheet name="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Hardcoded from script output: realized std of 50 test days x sqrt(252).</t>
        </r>
      </text>
    </comment>
  </commentList>
</comments>
</file>

<file path=xl/sharedStrings.xml><?xml version="1.0" encoding="utf-8"?>
<sst xmlns="http://schemas.openxmlformats.org/spreadsheetml/2006/main" count="48" uniqueCount="44">
  <si>
    <t xml:space="preserve">Volatility Shootout: Current Run Results</t>
  </si>
  <si>
    <t xml:space="preserve">Source: single run of vol_agent.py (simulated GARCH-style data, seed 42, 450 train / 50 test days)</t>
  </si>
  <si>
    <t xml:space="preserve">Realized test vol (annualized)</t>
  </si>
  <si>
    <t xml:space="preserve">Model</t>
  </si>
  <si>
    <t xml:space="preserve">Forecast (annualized vol)</t>
  </si>
  <si>
    <t xml:space="preserve">Absolute error (pp)</t>
  </si>
  <si>
    <t xml:space="preserve">Error as % of realized</t>
  </si>
  <si>
    <t xml:space="preserve">Rank</t>
  </si>
  <si>
    <t xml:space="preserve">Rolling 30-day std</t>
  </si>
  <si>
    <t xml:space="preserve">EWMA (lambda = 0.94)</t>
  </si>
  <si>
    <t xml:space="preserve">Long-run mean</t>
  </si>
  <si>
    <t xml:space="preserve">Winner</t>
  </si>
  <si>
    <t xml:space="preserve">Gap: winner vs. runner-up (pp)</t>
  </si>
  <si>
    <t xml:space="preserve">Blue = hardcoded values from the script run; black = formulas. Forecasts are rounded to 2 decimals as printed, so computed errors may differ from the printed ones by ~0.01 pp.</t>
  </si>
  <si>
    <t xml:space="preserve">Why These Numbers Don't Mean Much Yet</t>
  </si>
  <si>
    <t xml:space="preserve">Issue</t>
  </si>
  <si>
    <t xml:space="preserve">Explanation</t>
  </si>
  <si>
    <t xml:space="preserve">Simulated data</t>
  </si>
  <si>
    <t xml:space="preserve">Returns come from a GARCH-style process with a fixed seed, so the ranking reflects one random draw, not real markets.</t>
  </si>
  <si>
    <t xml:space="preserve">One forecast, one test window</t>
  </si>
  <si>
    <t xml:space="preserve">A single comparison over 50 test days can't separate skill from luck. Changing the seed can flip the winner.</t>
  </si>
  <si>
    <t xml:space="preserve">Weak metric</t>
  </si>
  <si>
    <t xml:space="preserve">Absolute error on one number ignores day-to-day vol dynamics. Standard practice is rolling forecasts scored with MSE or QLIKE.</t>
  </si>
  <si>
    <t xml:space="preserve">No significance test</t>
  </si>
  <si>
    <t xml:space="preserve">No evidence the gap between rolling std and EWMA is statistically real.</t>
  </si>
  <si>
    <t xml:space="preserve">Upgrade Path to Resume-Worthy Results</t>
  </si>
  <si>
    <t xml:space="preserve">Step</t>
  </si>
  <si>
    <t xml:space="preserve">Upgrade</t>
  </si>
  <si>
    <t xml:space="preserve">Details</t>
  </si>
  <si>
    <t xml:space="preserve">Status</t>
  </si>
  <si>
    <t xml:space="preserve">Use real data</t>
  </si>
  <si>
    <t xml:space="preserve">e.g., SPY daily returns over 10+ years.</t>
  </si>
  <si>
    <t xml:space="preserve">Not started</t>
  </si>
  <si>
    <t xml:space="preserve">Walk-forward evaluation</t>
  </si>
  <si>
    <t xml:space="preserve">Forecast every day out-of-sample; compare to realized vol over the next N days.</t>
  </si>
  <si>
    <t xml:space="preserve">Better loss functions</t>
  </si>
  <si>
    <t xml:space="preserve">Score with QLIKE and MSE across thousands of forecasts.</t>
  </si>
  <si>
    <t xml:space="preserve">Stronger model set</t>
  </si>
  <si>
    <t xml:space="preserve">Add GARCH(1,1), an ML model, and implied vol from the options library as a benchmark.</t>
  </si>
  <si>
    <t xml:space="preserve">Significance testing</t>
  </si>
  <si>
    <t xml:space="preserve">Diebold-Mariano test to show whether the winner is statistically better.</t>
  </si>
  <si>
    <t xml:space="preserve">Target resume line:</t>
  </si>
  <si>
    <t xml:space="preserve">GARCH reduced QLIKE loss X% vs. EWMA across 2,500 out-of-sample SPY forecasts (DM test p &lt; 0.05)</t>
  </si>
  <si>
    <t xml:space="preserve">Yellow Status cells are for you to update as you progress.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</si>
</sst>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0.0619</v>
      </c>
    </row>
    <row r="6" customFormat="false" ht="26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customFormat="false" ht="15" hidden="false" customHeight="false" outlineLevel="0" collapsed="false">
      <c r="A7" s="6" t="s">
        <v>8</v>
      </c>
      <c r="B7" s="7" t="n">
        <v>0.0605</v>
      </c>
      <c r="C7" s="8" t="n">
        <f aca="false">ABS(B7-$B$4)*100</f>
        <v>0.14</v>
      </c>
      <c r="D7" s="9" t="n">
        <f aca="false">IF($B$4=0,0,ABS(B7-$B$4)/$B$4)</f>
        <v>0.0226171243941841</v>
      </c>
      <c r="E7" s="6" t="n">
        <f aca="false">RANK(C7,$C$7:$C$9,1)</f>
        <v>1</v>
      </c>
    </row>
    <row r="8" customFormat="false" ht="15" hidden="false" customHeight="false" outlineLevel="0" collapsed="false">
      <c r="A8" s="6" t="s">
        <v>9</v>
      </c>
      <c r="B8" s="7" t="n">
        <v>0.0596</v>
      </c>
      <c r="C8" s="8" t="n">
        <f aca="false">ABS(B8-$B$4)*100</f>
        <v>0.23</v>
      </c>
      <c r="D8" s="9" t="n">
        <f aca="false">IF($B$4=0,0,ABS(B8-$B$4)/$B$4)</f>
        <v>0.0371567043618739</v>
      </c>
      <c r="E8" s="6" t="n">
        <f aca="false">RANK(C8,$C$7:$C$9,1)</f>
        <v>2</v>
      </c>
    </row>
    <row r="9" customFormat="false" ht="15" hidden="false" customHeight="false" outlineLevel="0" collapsed="false">
      <c r="A9" s="6" t="s">
        <v>10</v>
      </c>
      <c r="B9" s="7" t="n">
        <v>0.0661</v>
      </c>
      <c r="C9" s="8" t="n">
        <f aca="false">ABS(B9-$B$4)*100</f>
        <v>0.420000000000001</v>
      </c>
      <c r="D9" s="9" t="n">
        <f aca="false">IF($B$4=0,0,ABS(B9-$B$4)/$B$4)</f>
        <v>0.0678513731825527</v>
      </c>
      <c r="E9" s="6" t="n">
        <f aca="false">RANK(C9,$C$7:$C$9,1)</f>
        <v>3</v>
      </c>
    </row>
    <row r="11" customFormat="false" ht="15" hidden="false" customHeight="false" outlineLevel="0" collapsed="false">
      <c r="A11" s="3" t="s">
        <v>11</v>
      </c>
      <c r="B11" s="3" t="str">
        <f aca="false">INDEX(A7:A9,MATCH(MIN(C7:C9),C7:C9,0))</f>
        <v>Rolling 30-day std</v>
      </c>
    </row>
    <row r="12" customFormat="false" ht="15" hidden="false" customHeight="false" outlineLevel="0" collapsed="false">
      <c r="A12" s="3" t="s">
        <v>12</v>
      </c>
      <c r="B12" s="10" t="n">
        <f aca="false">SMALL(C7:C9,2)-SMALL(C7:C9,1)</f>
        <v>0.0899999999999998</v>
      </c>
    </row>
    <row r="14" customFormat="false" ht="15" hidden="false" customHeight="false" outlineLevel="0" collapsed="false">
      <c r="A14" s="1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</row>
    <row r="4" customFormat="false" ht="26.85" hidden="false" customHeight="false" outlineLevel="0" collapsed="false">
      <c r="A4" s="12" t="s">
        <v>17</v>
      </c>
      <c r="B4" s="13" t="s">
        <v>18</v>
      </c>
    </row>
    <row r="5" customFormat="false" ht="26.85" hidden="false" customHeight="false" outlineLevel="0" collapsed="false">
      <c r="A5" s="12" t="s">
        <v>19</v>
      </c>
      <c r="B5" s="13" t="s">
        <v>20</v>
      </c>
    </row>
    <row r="6" customFormat="false" ht="26.85" hidden="false" customHeight="false" outlineLevel="0" collapsed="false">
      <c r="A6" s="12" t="s">
        <v>21</v>
      </c>
      <c r="B6" s="13" t="s">
        <v>22</v>
      </c>
    </row>
    <row r="7" customFormat="false" ht="15" hidden="false" customHeight="false" outlineLevel="0" collapsed="false">
      <c r="A7" s="12" t="s">
        <v>23</v>
      </c>
      <c r="B7" s="1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</row>
    <row r="4" customFormat="false" ht="15" hidden="false" customHeight="false" outlineLevel="0" collapsed="false">
      <c r="A4" s="14" t="n">
        <v>1</v>
      </c>
      <c r="B4" s="12" t="s">
        <v>30</v>
      </c>
      <c r="C4" s="14" t="s">
        <v>31</v>
      </c>
      <c r="D4" s="15" t="s">
        <v>32</v>
      </c>
    </row>
    <row r="5" customFormat="false" ht="15" hidden="false" customHeight="false" outlineLevel="0" collapsed="false">
      <c r="A5" s="14" t="n">
        <v>2</v>
      </c>
      <c r="B5" s="12" t="s">
        <v>33</v>
      </c>
      <c r="C5" s="14" t="s">
        <v>34</v>
      </c>
      <c r="D5" s="15" t="s">
        <v>32</v>
      </c>
    </row>
    <row r="6" customFormat="false" ht="15" hidden="false" customHeight="false" outlineLevel="0" collapsed="false">
      <c r="A6" s="14" t="n">
        <v>3</v>
      </c>
      <c r="B6" s="12" t="s">
        <v>35</v>
      </c>
      <c r="C6" s="14" t="s">
        <v>36</v>
      </c>
      <c r="D6" s="15" t="s">
        <v>32</v>
      </c>
    </row>
    <row r="7" customFormat="false" ht="26.85" hidden="false" customHeight="false" outlineLevel="0" collapsed="false">
      <c r="A7" s="14" t="n">
        <v>4</v>
      </c>
      <c r="B7" s="12" t="s">
        <v>37</v>
      </c>
      <c r="C7" s="14" t="s">
        <v>38</v>
      </c>
      <c r="D7" s="15" t="s">
        <v>32</v>
      </c>
    </row>
    <row r="8" customFormat="false" ht="15" hidden="false" customHeight="false" outlineLevel="0" collapsed="false">
      <c r="A8" s="14" t="n">
        <v>5</v>
      </c>
      <c r="B8" s="12" t="s">
        <v>39</v>
      </c>
      <c r="C8" s="14" t="s">
        <v>40</v>
      </c>
      <c r="D8" s="15" t="s">
        <v>32</v>
      </c>
    </row>
    <row r="10" customFormat="false" ht="15" hidden="false" customHeight="false" outlineLevel="0" collapsed="false">
      <c r="A10" s="3" t="s">
        <v>41</v>
      </c>
      <c r="B10" s="16" t="s">
        <v>42</v>
      </c>
    </row>
    <row r="11" customFormat="false" ht="15" hidden="false" customHeight="false" outlineLevel="0" collapsed="false">
      <c r="A11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2026-10-20T01:41:41Z</dcterms:created>
  <dc:creator>openpyxl</dc:creator>
  <dc:description/>
  <dc:language>en-US</dc:language>
  <cp:lastModifiedBy/>
  <dcterms:modified xsi:type="dcterms:W3CDTF">2026-10-20T01:41:41Z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